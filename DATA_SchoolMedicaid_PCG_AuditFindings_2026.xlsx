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 by Report" sheetId="1" state="visible" r:id="rId3"/>
    <sheet name="Recommendations" sheetId="2" state="visible" r:id="rId4"/>
    <sheet name="Per-Household Math" sheetId="3" state="visible" r:id="rId5"/>
    <sheet name="Timeline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<sst xmlns="http://schemas.openxmlformats.org/spreadsheetml/2006/main" count="269" uniqueCount="169">
  <si>
    <t xml:space="preserve">Report #</t>
  </si>
  <si>
    <t xml:space="preserve">State</t>
  </si>
  <si>
    <t xml:space="preserve">Issued</t>
  </si>
  <si>
    <t xml:space="preserve">Audit period</t>
  </si>
  <si>
    <t xml:space="preserve">Contractor named</t>
  </si>
  <si>
    <t xml:space="preserve">Amount flagged ($)</t>
  </si>
  <si>
    <t xml:space="preserve">What auditors found</t>
  </si>
  <si>
    <t xml:space="preserve">Recommendation status (as of 2026-07-01)</t>
  </si>
  <si>
    <t xml:space="preserve">Report link</t>
  </si>
  <si>
    <t xml:space="preserve">A-02-21-01011</t>
  </si>
  <si>
    <t xml:space="preserve">Pennsylvania</t>
  </si>
  <si>
    <t xml:space="preserve">2024-03-11</t>
  </si>
  <si>
    <t xml:space="preserve">Jul 2015 - Jun 2019</t>
  </si>
  <si>
    <t xml:space="preserve">Public Consulting Group (PCG)</t>
  </si>
  <si>
    <t xml:space="preserve">$182.5M in moments not supported as Medicaid-eligible; $368.9M claimed on unsupported IEP ratios; RMTS excluded first month of school year</t>
  </si>
  <si>
    <t xml:space="preserve">All 6 recommendations Open Unimplemented; next update expected 10/08/2026</t>
  </si>
  <si>
    <t xml:space="preserve">https://oig.hhs.gov/reports/all/2024/pennsylvania-improperly-claimed-551-million-in-medicaid-funds-for-its-school-based-program/</t>
  </si>
  <si>
    <t xml:space="preserve">A-02-18-01019</t>
  </si>
  <si>
    <t xml:space="preserve">New York</t>
  </si>
  <si>
    <t xml:space="preserve">2021-07-20</t>
  </si>
  <si>
    <t xml:space="preserve">Oct 2011 - Jun 2016</t>
  </si>
  <si>
    <t xml:space="preserve">$98M unallowable (unsupported moments, double-claims, excess costs); $32M without documented CMS approval; $309M on unverifiable IEP ratios. OIG: PCG re-review was "reviewing its own work"</t>
  </si>
  <si>
    <t xml:space="preserve">All 5 recommendations Open Unimplemented; next update expected 10/09/2026</t>
  </si>
  <si>
    <t xml:space="preserve">https://oig.hhs.gov/reports/all/2021/new-york-improperly-claimed-439-million-in-medicaid-funds-for-its-school-based-health-services-based-on-certified-public-expenditures/</t>
  </si>
  <si>
    <t xml:space="preserve">A-02-15-01010</t>
  </si>
  <si>
    <t xml:space="preserve">New Jersey</t>
  </si>
  <si>
    <t xml:space="preserve">2017-11-27</t>
  </si>
  <si>
    <t xml:space="preserve">Rates set from SFY 2004 data; claims Apr 2006 onward</t>
  </si>
  <si>
    <t xml:space="preserve">Public Consulting Group (PCG), hired on contingency-fee basis</t>
  </si>
  <si>
    <t xml:space="preserve">PCG "improperly altered" 235 time-study responses; rates included $435M in unpaid pension costs; $300.5M unallowable + $306.2M unsupported</t>
  </si>
  <si>
    <t xml:space="preserve">$300.5M refund Open Unimplemented; $306.2M set-aside Closed Unimplemented 09/26/2024</t>
  </si>
  <si>
    <t xml:space="preserve">https://oig.hhs.gov/reports/all/2017/new-jersey-claimed-hundreds-of-millions-in-unallowable-or-unsupported-medicaid-school-based-reimbursement/</t>
  </si>
  <si>
    <t xml:space="preserve">A-05-13-00056</t>
  </si>
  <si>
    <t xml:space="preserve">Michigan</t>
  </si>
  <si>
    <t xml:space="preserve">2016-09-30</t>
  </si>
  <si>
    <t xml:space="preserve">SFY 2011</t>
  </si>
  <si>
    <t xml:space="preserve">Public Consulting Group (PCG), program manager</t>
  </si>
  <si>
    <t xml:space="preserve">RMTS sample universe incomplete; 13 of 59 districts overstated salaries with no matching job titles</t>
  </si>
  <si>
    <t xml:space="preserve">State concurred and agreed to refund</t>
  </si>
  <si>
    <t xml:space="preserve">https://oig.hhs.gov/reports/all/2016/michigan-improperly-received-medicaid-reimbursement-for-school-based-health-services/</t>
  </si>
  <si>
    <t xml:space="preserve">A-07-18-04107</t>
  </si>
  <si>
    <t xml:space="preserve">10 states (systemic)</t>
  </si>
  <si>
    <t xml:space="preserve">2018-12-06</t>
  </si>
  <si>
    <t xml:space="preserve">Roll-up of prior reviews</t>
  </si>
  <si>
    <t xml:space="preserve">No vendor named</t>
  </si>
  <si>
    <t xml:space="preserve">All 10 state agencies built RMTS methodologies incorrectly; CMS + state oversight inadequate</t>
  </si>
  <si>
    <t xml:space="preserve">Both recommendations to CMS Closed Implemented 11/29/2023</t>
  </si>
  <si>
    <t xml:space="preserve">https://oig.hhs.gov/oas/reports/region7/71804107.asp</t>
  </si>
  <si>
    <t xml:space="preserve">TOTAL (PA+NY+NJ+MI)</t>
  </si>
  <si>
    <t xml:space="preserve">Systemic roll-up ($435.4M) excluded from total: overlaps prior reviews</t>
  </si>
  <si>
    <t xml:space="preserve">Rec ID</t>
  </si>
  <si>
    <t xml:space="preserve">Report</t>
  </si>
  <si>
    <t xml:space="preserve">Recommendation (summary)</t>
  </si>
  <si>
    <t xml:space="preserve">Amount ($)</t>
  </si>
  <si>
    <t xml:space="preserve">Status (2026-07-01)</t>
  </si>
  <si>
    <t xml:space="preserve">Status date / next update</t>
  </si>
  <si>
    <t xml:space="preserve">Tracker link</t>
  </si>
  <si>
    <t xml:space="preserve">24-A-02-046.01</t>
  </si>
  <si>
    <t xml:space="preserve">PA</t>
  </si>
  <si>
    <t xml:space="preserve">Refund moments not supported as Medicaid-eligible</t>
  </si>
  <si>
    <t xml:space="preserve">Open Unimplemented</t>
  </si>
  <si>
    <t xml:space="preserve">Update expected 10/08/2026</t>
  </si>
  <si>
    <t xml:space="preserve">https://oig.hhs.gov/reports/recommendations/tracker/?view-mode=report-grouped&amp;search=A-02-21-01011&amp;hhs-agency=all#results</t>
  </si>
  <si>
    <t xml:space="preserve">24-A-02-046.02</t>
  </si>
  <si>
    <t xml:space="preserve">Refund or support allocation without unverifiable IEP ratios</t>
  </si>
  <si>
    <t xml:space="preserve">24-A-02-046.03</t>
  </si>
  <si>
    <t xml:space="preserve">Ensure contractor collects enough info to validate RMTS coding</t>
  </si>
  <si>
    <t xml:space="preserve">24-A-02-046.04</t>
  </si>
  <si>
    <t xml:space="preserve">Verify providers are licensed before delivering services</t>
  </si>
  <si>
    <t xml:space="preserve">24-A-02-046.05</t>
  </si>
  <si>
    <t xml:space="preserve">Develop accurate, verifiable method to identify Medicaid costs</t>
  </si>
  <si>
    <t xml:space="preserve">24-A-02-046.06</t>
  </si>
  <si>
    <t xml:space="preserve">Include first month of school year in RMTS</t>
  </si>
  <si>
    <t xml:space="preserve">21-A-02-125.01</t>
  </si>
  <si>
    <t xml:space="preserve">NY</t>
  </si>
  <si>
    <t xml:space="preserve">Refund unsupported moments, double-claims, excess costs</t>
  </si>
  <si>
    <t xml:space="preserve">Update expected 10/09/2026</t>
  </si>
  <si>
    <t xml:space="preserve">https://oig.hhs.gov/reports/recommendations/tracker/?view-mode=report-grouped&amp;search=A-02-18-01019&amp;hhs-agency=all#results</t>
  </si>
  <si>
    <t xml:space="preserve">21-A-02-125.02</t>
  </si>
  <si>
    <t xml:space="preserve">Refund or document CMS approval exception (SY2013 RMTS)</t>
  </si>
  <si>
    <t xml:space="preserve">21-A-02-125.03</t>
  </si>
  <si>
    <t xml:space="preserve">21-A-02-125.04</t>
  </si>
  <si>
    <t xml:space="preserve">Ensure contractor coding can be validated; offsets supported</t>
  </si>
  <si>
    <t xml:space="preserve">21-A-02-125.05</t>
  </si>
  <si>
    <t xml:space="preserve">Revise CPE program (September days; supportable cost method)</t>
  </si>
  <si>
    <t xml:space="preserve">18-A-02-025.01</t>
  </si>
  <si>
    <t xml:space="preserve">NJ</t>
  </si>
  <si>
    <t xml:space="preserve">Refund reimbursement claimed on rates with unallowable costs</t>
  </si>
  <si>
    <t xml:space="preserve">https://oig.hhs.gov/reports/recommendations/tracker/?view-mode=report-grouped&amp;search=A-02-15-01010&amp;hhs-agency=all#results</t>
  </si>
  <si>
    <t xml:space="preserve">18-A-02-025.02</t>
  </si>
  <si>
    <t xml:space="preserve">Work with CMS to determine allowable share of set-aside</t>
  </si>
  <si>
    <t xml:space="preserve">Closed Unimplemented</t>
  </si>
  <si>
    <t xml:space="preserve">Closed 09/26/2024</t>
  </si>
  <si>
    <t xml:space="preserve">18-A-02-025.03</t>
  </si>
  <si>
    <t xml:space="preserve">Revise payment rates to comply with federal requirements</t>
  </si>
  <si>
    <t xml:space="preserve">(MI rec 1)</t>
  </si>
  <si>
    <t xml:space="preserve">MI</t>
  </si>
  <si>
    <t xml:space="preserve">Refund unallowable SBHS costs (federal share)</t>
  </si>
  <si>
    <t xml:space="preserve">State concurred</t>
  </si>
  <si>
    <t xml:space="preserve">See report</t>
  </si>
  <si>
    <t xml:space="preserve">https://oig.hhs.gov/reports/recommendations/tracker/?view-mode=report-grouped&amp;search=A-05-13-00056&amp;hhs-agency=all#results</t>
  </si>
  <si>
    <t xml:space="preserve">(MI rec 2)</t>
  </si>
  <si>
    <t xml:space="preserve">Strengthen SBHS monitoring policies and procedures</t>
  </si>
  <si>
    <t xml:space="preserve">19-A-07-036.01</t>
  </si>
  <si>
    <t xml:space="preserve">CMS</t>
  </si>
  <si>
    <t xml:space="preserve">Instruct all states on RMTS compliance, approval, documentation</t>
  </si>
  <si>
    <t xml:space="preserve">Closed Implemented</t>
  </si>
  <si>
    <t xml:space="preserve">Closed 11/29/2023</t>
  </si>
  <si>
    <t xml:space="preserve">https://oig.hhs.gov/reports/recommendations/tracker/?view-mode=report-grouped&amp;search=A-07-18-04107&amp;hhs-agency=all#results</t>
  </si>
  <si>
    <t xml:space="preserve">19-A-07-036.02</t>
  </si>
  <si>
    <t xml:space="preserve">Issue formal RMTS guidance or stop permitting RMTS for SBHS</t>
  </si>
  <si>
    <t xml:space="preserve">TOTAL recommended refunds/support</t>
  </si>
  <si>
    <t xml:space="preserve">Geography</t>
  </si>
  <si>
    <t xml:space="preserve">Households</t>
  </si>
  <si>
    <t xml:space="preserve">Per household ($)</t>
  </si>
  <si>
    <t xml:space="preserve">Household source (VERIFY day-of-filing)</t>
  </si>
  <si>
    <t xml:space="preserve">United States</t>
  </si>
  <si>
    <t xml:space="preserve">US: FRED TTLHH, https://fred.stlouisfed.org/series/TTLHH</t>
  </si>
  <si>
    <t xml:space="preserve">Census ACS 5-yr estimate (approx)</t>
  </si>
  <si>
    <t xml:space="preserve">Date</t>
  </si>
  <si>
    <t xml:space="preserve">Event</t>
  </si>
  <si>
    <t xml:space="preserve">Record</t>
  </si>
  <si>
    <t xml:space="preserve">Link</t>
  </si>
  <si>
    <t xml:space="preserve">2005-06-28</t>
  </si>
  <si>
    <t xml:space="preserve">GAO warns CMS: 34 states use contingency-fee consultants to maximize federal Medicaid reimbursement; fees ran as high as 15% (GA: ~$82M fees on $1.5B)</t>
  </si>
  <si>
    <t xml:space="preserve">GAO-05-748</t>
  </si>
  <si>
    <t xml:space="preserve">https://www.gao.gov/products/gao-05-748</t>
  </si>
  <si>
    <t xml:space="preserve">2010</t>
  </si>
  <si>
    <t xml:space="preserve">OIG reviews NJ school-Medicaid claims "submitted by Public Consulting Group, Inc."</t>
  </si>
  <si>
    <t xml:space="preserve">OIG 2010 review</t>
  </si>
  <si>
    <t xml:space="preserve">https://oig.hhs.gov/reports/all/2010/review-of-new-jerseys-medicaid-school-based-health-claims-submitted-by-public-consulting-group-inc/</t>
  </si>
  <si>
    <t xml:space="preserve">Michigan: $954,408 unallowable under PCG-managed program</t>
  </si>
  <si>
    <t xml:space="preserve">New Jersey: $606.7M flagged; PCG "improperly altered" time-study responses</t>
  </si>
  <si>
    <t xml:space="preserve">Systemic review: all 10 state agencies built RMTS incorrectly; $435.4M out of compliance</t>
  </si>
  <si>
    <t xml:space="preserve">New York: $439M flagged; PCG re-review was "reviewing its own work"</t>
  </si>
  <si>
    <t xml:space="preserve">2022-09-27</t>
  </si>
  <si>
    <t xml:space="preserve">PCG pays $2.5M to resolve NJ whistleblower suit over SEMI evaluation claims (no admission of liability)</t>
  </si>
  <si>
    <t xml:space="preserve">U.S. ex rel. Shackford v. PCG, No. 12-2437</t>
  </si>
  <si>
    <t xml:space="preserve">https://www.justice.gov/usao-nj/pr/massachusetts-company-enters-settlement-agreement-resolve-claims-medicaid-over-billing</t>
  </si>
  <si>
    <t xml:space="preserve">2022</t>
  </si>
  <si>
    <t xml:space="preserve">OIG warns NJ school-based cost-settlement process could still produce noncompliant claims</t>
  </si>
  <si>
    <t xml:space="preserve">OIG 2022 report</t>
  </si>
  <si>
    <t xml:space="preserve">https://oig.hhs.gov/reports/all/2022/new-jerseys-medicaid-school-based-cost-settlement-process-could-result-in-claims-that-do-not-meet-federal-requirements/</t>
  </si>
  <si>
    <t xml:space="preserve">2023-11-29</t>
  </si>
  <si>
    <t xml:space="preserve">CMS closes 2018 systemic recommendations as "implemented"</t>
  </si>
  <si>
    <t xml:space="preserve">Recommendation tracker</t>
  </si>
  <si>
    <t xml:space="preserve">Pennsylvania: $551.4M flagged, largest in series; recs still open</t>
  </si>
  <si>
    <t xml:space="preserve">2024-09-26</t>
  </si>
  <si>
    <t xml:space="preserve">OIG closes NJ $306.2M set-aside recommendation "Unimplemented" (amount never determined)</t>
  </si>
  <si>
    <t xml:space="preserve">Active</t>
  </si>
  <si>
    <t xml:space="preserve">OIG Work Plan: "Medicaid School-Based Costs Claimed Based on Contingency Fee Contractor Coding"; multi-state roll-up estimated FY2026</t>
  </si>
  <si>
    <t xml:space="preserve">W-00-24-31529</t>
  </si>
  <si>
    <t xml:space="preserve">https://oig.hhs.gov/reports/work-plan/browse-work-plan-projects/w-00-24-31529/</t>
  </si>
  <si>
    <t xml:space="preserve">NOTES</t>
  </si>
  <si>
    <t xml:space="preserve">Improper or unsupported payments are not proven fraud. Figures are auditor-questioned costs and recommended refunds, not adjudicated losses. States dispute the findings. No fraud has been alleged against PCG in any of these audits.</t>
  </si>
  <si>
    <t xml:space="preserve">The 2022 DOJ settlement resolved common-law claims for payment by mistake; by its terms it is neither an admission of liability by PCG nor a concession by the United States.</t>
  </si>
  <si>
    <t xml:space="preserve">Keep PCG and PPL separate: PPL matters (NY CDPAP, WI IRIS) are not PCG-as-defendant. Avoid name confusion with Boston Consulting Group, Maximus, and Fairbanks LLC.</t>
  </si>
  <si>
    <t xml:space="preserve">Household denominators (blue cells, Per-Household tab) are approximations. VERIFY against FRED TTLHH and Census ACS on day of filing.</t>
  </si>
  <si>
    <t xml:space="preserve">SOURCES (retrieved 2026-07-01)</t>
  </si>
  <si>
    <t xml:space="preserve">PA full report: https://oig.hhs.gov/documents/audit/9816/A-02-21-01011.pdf</t>
  </si>
  <si>
    <t xml:space="preserve">NY full report: https://oig.hhs.gov/documents/audit/6448/A-02-18-01019-Complete%20Report.pdf</t>
  </si>
  <si>
    <t xml:space="preserve">NJ full report: https://oig.hhs.gov/documents/audit/6317/A-02-15-01010-Complete%20Report.pdf</t>
  </si>
  <si>
    <t xml:space="preserve">MI full report: https://oig.hhs.gov/documents/audit/7648/A-05-13-00056-Complete%20Report.pdf</t>
  </si>
  <si>
    <t xml:space="preserve">Systemic report page: https://oig.hhs.gov/oas/reports/region7/71804107.asp</t>
  </si>
  <si>
    <t xml:space="preserve">GAO-05-748 PDF: https://www.gao.gov/assets/gao-05-748.pdf</t>
  </si>
  <si>
    <t xml:space="preserve">DOJ settlement release: https://www.justice.gov/usao-nj/pr/massachusetts-company-enters-settlement-agreement-resolve-claims-medicaid-over-billing</t>
  </si>
  <si>
    <t xml:space="preserve">OIG Work Plan item: https://oig.hhs.gov/reports/work-plan/browse-work-plan-projects/w-00-24-31529/</t>
  </si>
  <si>
    <t xml:space="preserve">OpenSecrets PCG profile: https://www.opensecrets.org/orgs/public-consulting-group/summary?id=D000074774</t>
  </si>
  <si>
    <t xml:space="preserve">FRED households: https://fred.stlouisfed.org/series/TTLHH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</si>
</sst>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48"/>
    <col collapsed="false" customWidth="true" hidden="false" outlineLevel="0" max="8" min="8" style="0" width="34"/>
    <col collapsed="false" customWidth="true" hidden="false" outlineLevel="0" max="9" min="9" style="0" width="4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551400000</v>
      </c>
      <c r="G2" s="2" t="s">
        <v>14</v>
      </c>
      <c r="H2" s="2" t="s">
        <v>15</v>
      </c>
      <c r="I2" s="2" t="s">
        <v>16</v>
      </c>
    </row>
    <row r="3" customFormat="false" ht="46.2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13</v>
      </c>
      <c r="F3" s="5" t="n">
        <v>439000000</v>
      </c>
      <c r="G3" s="4" t="s">
        <v>21</v>
      </c>
      <c r="H3" s="4" t="s">
        <v>22</v>
      </c>
      <c r="I3" s="4" t="s">
        <v>23</v>
      </c>
    </row>
    <row r="4" customFormat="false" ht="35.0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 t="n">
        <v>606700000</v>
      </c>
      <c r="G4" s="2" t="s">
        <v>29</v>
      </c>
      <c r="H4" s="2" t="s">
        <v>30</v>
      </c>
      <c r="I4" s="2" t="s">
        <v>31</v>
      </c>
    </row>
    <row r="5" customFormat="false" ht="35.05" hidden="false" customHeight="false" outlineLevel="0" collapsed="false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5" t="n">
        <v>954408</v>
      </c>
      <c r="G5" s="4" t="s">
        <v>37</v>
      </c>
      <c r="H5" s="4" t="s">
        <v>38</v>
      </c>
      <c r="I5" s="4" t="s">
        <v>39</v>
      </c>
    </row>
    <row r="6" customFormat="false" ht="23.8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3" t="n">
        <v>435400000</v>
      </c>
      <c r="G6" s="2" t="s">
        <v>45</v>
      </c>
      <c r="H6" s="2" t="s">
        <v>46</v>
      </c>
      <c r="I6" s="2" t="s">
        <v>47</v>
      </c>
    </row>
    <row r="7" customFormat="false" ht="23.85" hidden="false" customHeight="false" outlineLevel="0" collapsed="false">
      <c r="A7" s="6" t="s">
        <v>48</v>
      </c>
      <c r="B7" s="4"/>
      <c r="C7" s="4"/>
      <c r="D7" s="4"/>
      <c r="E7" s="4"/>
      <c r="F7" s="7" t="n">
        <f aca="false">SUM(F2:F5)</f>
        <v>1598054408</v>
      </c>
      <c r="G7" s="4" t="s">
        <v>49</v>
      </c>
      <c r="H7" s="4"/>
      <c r="I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4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customFormat="false" ht="35.05" hidden="false" customHeight="false" outlineLevel="0" collapsed="false">
      <c r="A2" s="2" t="s">
        <v>57</v>
      </c>
      <c r="B2" s="2" t="s">
        <v>9</v>
      </c>
      <c r="C2" s="2" t="s">
        <v>58</v>
      </c>
      <c r="D2" s="2" t="s">
        <v>59</v>
      </c>
      <c r="E2" s="3" t="n">
        <v>182565445</v>
      </c>
      <c r="F2" s="2" t="s">
        <v>60</v>
      </c>
      <c r="G2" s="2" t="s">
        <v>61</v>
      </c>
      <c r="H2" s="2" t="s">
        <v>62</v>
      </c>
    </row>
    <row r="3" customFormat="false" ht="35.05" hidden="false" customHeight="false" outlineLevel="0" collapsed="false">
      <c r="A3" s="4" t="s">
        <v>63</v>
      </c>
      <c r="B3" s="4" t="s">
        <v>9</v>
      </c>
      <c r="C3" s="4" t="s">
        <v>58</v>
      </c>
      <c r="D3" s="4" t="s">
        <v>64</v>
      </c>
      <c r="E3" s="5" t="n">
        <v>368870827</v>
      </c>
      <c r="F3" s="4" t="s">
        <v>60</v>
      </c>
      <c r="G3" s="4" t="s">
        <v>61</v>
      </c>
      <c r="H3" s="4" t="s">
        <v>62</v>
      </c>
    </row>
    <row r="4" customFormat="false" ht="35.05" hidden="false" customHeight="false" outlineLevel="0" collapsed="false">
      <c r="A4" s="2" t="s">
        <v>65</v>
      </c>
      <c r="B4" s="2" t="s">
        <v>9</v>
      </c>
      <c r="C4" s="2" t="s">
        <v>58</v>
      </c>
      <c r="D4" s="2" t="s">
        <v>66</v>
      </c>
      <c r="E4" s="3"/>
      <c r="F4" s="2" t="s">
        <v>60</v>
      </c>
      <c r="G4" s="2" t="s">
        <v>61</v>
      </c>
      <c r="H4" s="2" t="s">
        <v>62</v>
      </c>
    </row>
    <row r="5" customFormat="false" ht="35.05" hidden="false" customHeight="false" outlineLevel="0" collapsed="false">
      <c r="A5" s="4" t="s">
        <v>67</v>
      </c>
      <c r="B5" s="4" t="s">
        <v>9</v>
      </c>
      <c r="C5" s="4" t="s">
        <v>58</v>
      </c>
      <c r="D5" s="4" t="s">
        <v>68</v>
      </c>
      <c r="E5" s="5"/>
      <c r="F5" s="4" t="s">
        <v>60</v>
      </c>
      <c r="G5" s="4" t="s">
        <v>61</v>
      </c>
      <c r="H5" s="4" t="s">
        <v>62</v>
      </c>
    </row>
    <row r="6" customFormat="false" ht="35.05" hidden="false" customHeight="false" outlineLevel="0" collapsed="false">
      <c r="A6" s="2" t="s">
        <v>69</v>
      </c>
      <c r="B6" s="2" t="s">
        <v>9</v>
      </c>
      <c r="C6" s="2" t="s">
        <v>58</v>
      </c>
      <c r="D6" s="2" t="s">
        <v>70</v>
      </c>
      <c r="E6" s="3"/>
      <c r="F6" s="2" t="s">
        <v>60</v>
      </c>
      <c r="G6" s="2" t="s">
        <v>61</v>
      </c>
      <c r="H6" s="2" t="s">
        <v>62</v>
      </c>
    </row>
    <row r="7" customFormat="false" ht="35.05" hidden="false" customHeight="false" outlineLevel="0" collapsed="false">
      <c r="A7" s="4" t="s">
        <v>71</v>
      </c>
      <c r="B7" s="4" t="s">
        <v>9</v>
      </c>
      <c r="C7" s="4" t="s">
        <v>58</v>
      </c>
      <c r="D7" s="4" t="s">
        <v>72</v>
      </c>
      <c r="E7" s="5"/>
      <c r="F7" s="4" t="s">
        <v>60</v>
      </c>
      <c r="G7" s="4" t="s">
        <v>61</v>
      </c>
      <c r="H7" s="4" t="s">
        <v>62</v>
      </c>
    </row>
    <row r="8" customFormat="false" ht="35.05" hidden="false" customHeight="false" outlineLevel="0" collapsed="false">
      <c r="A8" s="2" t="s">
        <v>73</v>
      </c>
      <c r="B8" s="2" t="s">
        <v>17</v>
      </c>
      <c r="C8" s="2" t="s">
        <v>74</v>
      </c>
      <c r="D8" s="2" t="s">
        <v>75</v>
      </c>
      <c r="E8" s="3" t="n">
        <v>97998292</v>
      </c>
      <c r="F8" s="2" t="s">
        <v>60</v>
      </c>
      <c r="G8" s="2" t="s">
        <v>76</v>
      </c>
      <c r="H8" s="2" t="s">
        <v>77</v>
      </c>
    </row>
    <row r="9" customFormat="false" ht="35.05" hidden="false" customHeight="false" outlineLevel="0" collapsed="false">
      <c r="A9" s="4" t="s">
        <v>78</v>
      </c>
      <c r="B9" s="4" t="s">
        <v>17</v>
      </c>
      <c r="C9" s="4" t="s">
        <v>74</v>
      </c>
      <c r="D9" s="4" t="s">
        <v>79</v>
      </c>
      <c r="E9" s="5" t="n">
        <v>32267478</v>
      </c>
      <c r="F9" s="4" t="s">
        <v>60</v>
      </c>
      <c r="G9" s="4" t="s">
        <v>76</v>
      </c>
      <c r="H9" s="4" t="s">
        <v>77</v>
      </c>
    </row>
    <row r="10" customFormat="false" ht="35.05" hidden="false" customHeight="false" outlineLevel="0" collapsed="false">
      <c r="A10" s="2" t="s">
        <v>80</v>
      </c>
      <c r="B10" s="2" t="s">
        <v>17</v>
      </c>
      <c r="C10" s="2" t="s">
        <v>74</v>
      </c>
      <c r="D10" s="2" t="s">
        <v>64</v>
      </c>
      <c r="E10" s="3" t="n">
        <v>308972870</v>
      </c>
      <c r="F10" s="2" t="s">
        <v>60</v>
      </c>
      <c r="G10" s="2" t="s">
        <v>76</v>
      </c>
      <c r="H10" s="2" t="s">
        <v>77</v>
      </c>
    </row>
    <row r="11" customFormat="false" ht="35.05" hidden="false" customHeight="false" outlineLevel="0" collapsed="false">
      <c r="A11" s="4" t="s">
        <v>81</v>
      </c>
      <c r="B11" s="4" t="s">
        <v>17</v>
      </c>
      <c r="C11" s="4" t="s">
        <v>74</v>
      </c>
      <c r="D11" s="4" t="s">
        <v>82</v>
      </c>
      <c r="E11" s="5"/>
      <c r="F11" s="4" t="s">
        <v>60</v>
      </c>
      <c r="G11" s="4" t="s">
        <v>76</v>
      </c>
      <c r="H11" s="4" t="s">
        <v>77</v>
      </c>
    </row>
    <row r="12" customFormat="false" ht="35.05" hidden="false" customHeight="false" outlineLevel="0" collapsed="false">
      <c r="A12" s="2" t="s">
        <v>83</v>
      </c>
      <c r="B12" s="2" t="s">
        <v>17</v>
      </c>
      <c r="C12" s="2" t="s">
        <v>74</v>
      </c>
      <c r="D12" s="2" t="s">
        <v>84</v>
      </c>
      <c r="E12" s="3"/>
      <c r="F12" s="2" t="s">
        <v>60</v>
      </c>
      <c r="G12" s="2" t="s">
        <v>76</v>
      </c>
      <c r="H12" s="2" t="s">
        <v>77</v>
      </c>
    </row>
    <row r="13" customFormat="false" ht="35.05" hidden="false" customHeight="false" outlineLevel="0" collapsed="false">
      <c r="A13" s="4" t="s">
        <v>85</v>
      </c>
      <c r="B13" s="4" t="s">
        <v>24</v>
      </c>
      <c r="C13" s="4" t="s">
        <v>86</v>
      </c>
      <c r="D13" s="4" t="s">
        <v>87</v>
      </c>
      <c r="E13" s="5" t="n">
        <v>300452930</v>
      </c>
      <c r="F13" s="4" t="s">
        <v>60</v>
      </c>
      <c r="G13" s="4" t="s">
        <v>61</v>
      </c>
      <c r="H13" s="4" t="s">
        <v>88</v>
      </c>
    </row>
    <row r="14" customFormat="false" ht="35.05" hidden="false" customHeight="false" outlineLevel="0" collapsed="false">
      <c r="A14" s="2" t="s">
        <v>89</v>
      </c>
      <c r="B14" s="2" t="s">
        <v>24</v>
      </c>
      <c r="C14" s="2" t="s">
        <v>86</v>
      </c>
      <c r="D14" s="2" t="s">
        <v>90</v>
      </c>
      <c r="E14" s="3" t="n">
        <v>306233377</v>
      </c>
      <c r="F14" s="2" t="s">
        <v>91</v>
      </c>
      <c r="G14" s="2" t="s">
        <v>92</v>
      </c>
      <c r="H14" s="2" t="s">
        <v>88</v>
      </c>
    </row>
    <row r="15" customFormat="false" ht="35.05" hidden="false" customHeight="false" outlineLevel="0" collapsed="false">
      <c r="A15" s="4" t="s">
        <v>93</v>
      </c>
      <c r="B15" s="4" t="s">
        <v>24</v>
      </c>
      <c r="C15" s="4" t="s">
        <v>86</v>
      </c>
      <c r="D15" s="4" t="s">
        <v>94</v>
      </c>
      <c r="E15" s="5"/>
      <c r="F15" s="4" t="s">
        <v>91</v>
      </c>
      <c r="G15" s="4" t="s">
        <v>92</v>
      </c>
      <c r="H15" s="4" t="s">
        <v>88</v>
      </c>
    </row>
    <row r="16" customFormat="false" ht="35.05" hidden="false" customHeight="false" outlineLevel="0" collapsed="false">
      <c r="A16" s="2" t="s">
        <v>95</v>
      </c>
      <c r="B16" s="2" t="s">
        <v>32</v>
      </c>
      <c r="C16" s="2" t="s">
        <v>96</v>
      </c>
      <c r="D16" s="2" t="s">
        <v>97</v>
      </c>
      <c r="E16" s="3" t="n">
        <v>954408</v>
      </c>
      <c r="F16" s="2" t="s">
        <v>98</v>
      </c>
      <c r="G16" s="2" t="s">
        <v>99</v>
      </c>
      <c r="H16" s="2" t="s">
        <v>100</v>
      </c>
    </row>
    <row r="17" customFormat="false" ht="35.05" hidden="false" customHeight="false" outlineLevel="0" collapsed="false">
      <c r="A17" s="4" t="s">
        <v>101</v>
      </c>
      <c r="B17" s="4" t="s">
        <v>32</v>
      </c>
      <c r="C17" s="4" t="s">
        <v>96</v>
      </c>
      <c r="D17" s="4" t="s">
        <v>102</v>
      </c>
      <c r="E17" s="5"/>
      <c r="F17" s="4" t="s">
        <v>98</v>
      </c>
      <c r="G17" s="4" t="s">
        <v>99</v>
      </c>
      <c r="H17" s="4" t="s">
        <v>100</v>
      </c>
    </row>
    <row r="18" customFormat="false" ht="35.05" hidden="false" customHeight="false" outlineLevel="0" collapsed="false">
      <c r="A18" s="2" t="s">
        <v>103</v>
      </c>
      <c r="B18" s="2" t="s">
        <v>40</v>
      </c>
      <c r="C18" s="2" t="s">
        <v>104</v>
      </c>
      <c r="D18" s="2" t="s">
        <v>105</v>
      </c>
      <c r="E18" s="3"/>
      <c r="F18" s="2" t="s">
        <v>106</v>
      </c>
      <c r="G18" s="2" t="s">
        <v>107</v>
      </c>
      <c r="H18" s="2" t="s">
        <v>108</v>
      </c>
    </row>
    <row r="19" customFormat="false" ht="35.05" hidden="false" customHeight="false" outlineLevel="0" collapsed="false">
      <c r="A19" s="4" t="s">
        <v>109</v>
      </c>
      <c r="B19" s="4" t="s">
        <v>40</v>
      </c>
      <c r="C19" s="4" t="s">
        <v>104</v>
      </c>
      <c r="D19" s="4" t="s">
        <v>110</v>
      </c>
      <c r="E19" s="5"/>
      <c r="F19" s="4" t="s">
        <v>106</v>
      </c>
      <c r="G19" s="4" t="s">
        <v>107</v>
      </c>
      <c r="H19" s="4" t="s">
        <v>108</v>
      </c>
    </row>
    <row r="20" customFormat="false" ht="35.05" hidden="false" customHeight="false" outlineLevel="0" collapsed="false">
      <c r="A20" s="8" t="s">
        <v>111</v>
      </c>
      <c r="B20" s="2"/>
      <c r="C20" s="2"/>
      <c r="D20" s="2"/>
      <c r="E20" s="9" t="n">
        <f aca="false">SUM(E2:E19)</f>
        <v>1598315627</v>
      </c>
      <c r="F20" s="2"/>
      <c r="G20" s="2"/>
      <c r="H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52"/>
  </cols>
  <sheetData>
    <row r="1" customFormat="false" ht="23.85" hidden="false" customHeight="false" outlineLevel="0" collapsed="false">
      <c r="A1" s="1" t="s">
        <v>112</v>
      </c>
      <c r="B1" s="1" t="s">
        <v>5</v>
      </c>
      <c r="C1" s="1" t="s">
        <v>113</v>
      </c>
      <c r="D1" s="1" t="s">
        <v>114</v>
      </c>
      <c r="E1" s="1" t="s">
        <v>115</v>
      </c>
    </row>
    <row r="2" customFormat="false" ht="15" hidden="false" customHeight="false" outlineLevel="0" collapsed="false">
      <c r="A2" s="2" t="s">
        <v>116</v>
      </c>
      <c r="B2" s="3" t="n">
        <f aca="false">'Findings by Report'!F7</f>
        <v>1598054408</v>
      </c>
      <c r="C2" s="10" t="n">
        <v>131434000</v>
      </c>
      <c r="D2" s="11" t="n">
        <f aca="false">B2/C2</f>
        <v>12.1586074227369</v>
      </c>
      <c r="E2" s="2" t="s">
        <v>117</v>
      </c>
    </row>
    <row r="3" customFormat="false" ht="15" hidden="false" customHeight="false" outlineLevel="0" collapsed="false">
      <c r="A3" s="4" t="s">
        <v>10</v>
      </c>
      <c r="B3" s="5" t="n">
        <f aca="false">'Findings by Report'!F2</f>
        <v>551400000</v>
      </c>
      <c r="C3" s="12" t="n">
        <v>5262000</v>
      </c>
      <c r="D3" s="13" t="n">
        <f aca="false">B3/C3</f>
        <v>104.78905359179</v>
      </c>
      <c r="E3" s="4" t="s">
        <v>118</v>
      </c>
    </row>
    <row r="4" customFormat="false" ht="15" hidden="false" customHeight="false" outlineLevel="0" collapsed="false">
      <c r="A4" s="2" t="s">
        <v>18</v>
      </c>
      <c r="B4" s="3" t="n">
        <f aca="false">'Findings by Report'!F3</f>
        <v>439000000</v>
      </c>
      <c r="C4" s="10" t="n">
        <v>7617000</v>
      </c>
      <c r="D4" s="11" t="n">
        <f aca="false">B4/C4</f>
        <v>57.6342392017855</v>
      </c>
      <c r="E4" s="2" t="s">
        <v>118</v>
      </c>
    </row>
    <row r="5" customFormat="false" ht="15" hidden="false" customHeight="false" outlineLevel="0" collapsed="false">
      <c r="A5" s="4" t="s">
        <v>25</v>
      </c>
      <c r="B5" s="5" t="n">
        <f aca="false">'Findings by Report'!F4</f>
        <v>606700000</v>
      </c>
      <c r="C5" s="12" t="n">
        <v>3517000</v>
      </c>
      <c r="D5" s="13" t="n">
        <f aca="false">B5/C5</f>
        <v>172.504975831675</v>
      </c>
      <c r="E5" s="4" t="s">
        <v>118</v>
      </c>
    </row>
    <row r="6" customFormat="false" ht="15" hidden="false" customHeight="false" outlineLevel="0" collapsed="false">
      <c r="A6" s="2" t="s">
        <v>33</v>
      </c>
      <c r="B6" s="3" t="n">
        <f aca="false">'Findings by Report'!F5</f>
        <v>954408</v>
      </c>
      <c r="C6" s="10" t="n">
        <v>4009000</v>
      </c>
      <c r="D6" s="11" t="n">
        <f aca="false">B6/C6</f>
        <v>0.238066350710901</v>
      </c>
      <c r="E6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2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119</v>
      </c>
      <c r="B1" s="1" t="s">
        <v>120</v>
      </c>
      <c r="C1" s="1" t="s">
        <v>121</v>
      </c>
      <c r="D1" s="1" t="s">
        <v>122</v>
      </c>
    </row>
    <row r="2" customFormat="false" ht="23.85" hidden="false" customHeight="false" outlineLevel="0" collapsed="false">
      <c r="A2" s="2" t="s">
        <v>123</v>
      </c>
      <c r="B2" s="2" t="s">
        <v>124</v>
      </c>
      <c r="C2" s="2" t="s">
        <v>125</v>
      </c>
      <c r="D2" s="2" t="s">
        <v>126</v>
      </c>
    </row>
    <row r="3" customFormat="false" ht="35.05" hidden="false" customHeight="false" outlineLevel="0" collapsed="false">
      <c r="A3" s="4" t="s">
        <v>127</v>
      </c>
      <c r="B3" s="4" t="s">
        <v>128</v>
      </c>
      <c r="C3" s="4" t="s">
        <v>129</v>
      </c>
      <c r="D3" s="4" t="s">
        <v>130</v>
      </c>
    </row>
    <row r="4" customFormat="false" ht="35.05" hidden="false" customHeight="false" outlineLevel="0" collapsed="false">
      <c r="A4" s="2" t="s">
        <v>34</v>
      </c>
      <c r="B4" s="2" t="s">
        <v>131</v>
      </c>
      <c r="C4" s="2" t="s">
        <v>32</v>
      </c>
      <c r="D4" s="2" t="s">
        <v>39</v>
      </c>
    </row>
    <row r="5" customFormat="false" ht="35.05" hidden="false" customHeight="false" outlineLevel="0" collapsed="false">
      <c r="A5" s="4" t="s">
        <v>26</v>
      </c>
      <c r="B5" s="4" t="s">
        <v>132</v>
      </c>
      <c r="C5" s="4" t="s">
        <v>24</v>
      </c>
      <c r="D5" s="4" t="s">
        <v>31</v>
      </c>
    </row>
    <row r="6" customFormat="false" ht="15" hidden="false" customHeight="false" outlineLevel="0" collapsed="false">
      <c r="A6" s="2" t="s">
        <v>42</v>
      </c>
      <c r="B6" s="2" t="s">
        <v>133</v>
      </c>
      <c r="C6" s="2" t="s">
        <v>40</v>
      </c>
      <c r="D6" s="2" t="s">
        <v>47</v>
      </c>
    </row>
    <row r="7" customFormat="false" ht="35.05" hidden="false" customHeight="false" outlineLevel="0" collapsed="false">
      <c r="A7" s="4" t="s">
        <v>19</v>
      </c>
      <c r="B7" s="4" t="s">
        <v>134</v>
      </c>
      <c r="C7" s="4" t="s">
        <v>17</v>
      </c>
      <c r="D7" s="4" t="s">
        <v>23</v>
      </c>
    </row>
    <row r="8" customFormat="false" ht="35.05" hidden="false" customHeight="false" outlineLevel="0" collapsed="false">
      <c r="A8" s="2" t="s">
        <v>135</v>
      </c>
      <c r="B8" s="2" t="s">
        <v>136</v>
      </c>
      <c r="C8" s="2" t="s">
        <v>137</v>
      </c>
      <c r="D8" s="2" t="s">
        <v>138</v>
      </c>
    </row>
    <row r="9" customFormat="false" ht="35.05" hidden="false" customHeight="false" outlineLevel="0" collapsed="false">
      <c r="A9" s="4" t="s">
        <v>139</v>
      </c>
      <c r="B9" s="4" t="s">
        <v>140</v>
      </c>
      <c r="C9" s="4" t="s">
        <v>141</v>
      </c>
      <c r="D9" s="4" t="s">
        <v>142</v>
      </c>
    </row>
    <row r="10" customFormat="false" ht="35.05" hidden="false" customHeight="false" outlineLevel="0" collapsed="false">
      <c r="A10" s="2" t="s">
        <v>143</v>
      </c>
      <c r="B10" s="2" t="s">
        <v>144</v>
      </c>
      <c r="C10" s="2" t="s">
        <v>145</v>
      </c>
      <c r="D10" s="2" t="s">
        <v>108</v>
      </c>
    </row>
    <row r="11" customFormat="false" ht="35.05" hidden="false" customHeight="false" outlineLevel="0" collapsed="false">
      <c r="A11" s="4" t="s">
        <v>11</v>
      </c>
      <c r="B11" s="4" t="s">
        <v>146</v>
      </c>
      <c r="C11" s="4" t="s">
        <v>9</v>
      </c>
      <c r="D11" s="4" t="s">
        <v>16</v>
      </c>
    </row>
    <row r="12" customFormat="false" ht="35.05" hidden="false" customHeight="false" outlineLevel="0" collapsed="false">
      <c r="A12" s="2" t="s">
        <v>147</v>
      </c>
      <c r="B12" s="2" t="s">
        <v>148</v>
      </c>
      <c r="C12" s="2" t="s">
        <v>145</v>
      </c>
      <c r="D12" s="2" t="s">
        <v>88</v>
      </c>
    </row>
    <row r="13" customFormat="false" ht="23.85" hidden="false" customHeight="false" outlineLevel="0" collapsed="false">
      <c r="A13" s="4" t="s">
        <v>149</v>
      </c>
      <c r="B13" s="4" t="s">
        <v>150</v>
      </c>
      <c r="C13" s="4" t="s">
        <v>151</v>
      </c>
      <c r="D13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6" t="s">
        <v>153</v>
      </c>
    </row>
    <row r="2" customFormat="false" ht="23.85" hidden="false" customHeight="false" outlineLevel="0" collapsed="false">
      <c r="A2" s="4" t="s">
        <v>154</v>
      </c>
    </row>
    <row r="3" customFormat="false" ht="23.85" hidden="false" customHeight="false" outlineLevel="0" collapsed="false">
      <c r="A3" s="4" t="s">
        <v>155</v>
      </c>
    </row>
    <row r="4" customFormat="false" ht="23.85" hidden="false" customHeight="false" outlineLevel="0" collapsed="false">
      <c r="A4" s="4" t="s">
        <v>156</v>
      </c>
    </row>
    <row r="5" customFormat="false" ht="15" hidden="false" customHeight="false" outlineLevel="0" collapsed="false">
      <c r="A5" s="4" t="s">
        <v>157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6" t="s">
        <v>158</v>
      </c>
    </row>
    <row r="8" customFormat="false" ht="15" hidden="false" customHeight="false" outlineLevel="0" collapsed="false">
      <c r="A8" s="4" t="s">
        <v>159</v>
      </c>
    </row>
    <row r="9" customFormat="false" ht="15" hidden="false" customHeight="false" outlineLevel="0" collapsed="false">
      <c r="A9" s="4" t="s">
        <v>160</v>
      </c>
    </row>
    <row r="10" customFormat="false" ht="15" hidden="false" customHeight="false" outlineLevel="0" collapsed="false">
      <c r="A10" s="4" t="s">
        <v>161</v>
      </c>
    </row>
    <row r="11" customFormat="false" ht="15" hidden="false" customHeight="false" outlineLevel="0" collapsed="false">
      <c r="A11" s="4" t="s">
        <v>162</v>
      </c>
    </row>
    <row r="12" customFormat="false" ht="15" hidden="false" customHeight="false" outlineLevel="0" collapsed="false">
      <c r="A12" s="4" t="s">
        <v>163</v>
      </c>
    </row>
    <row r="13" customFormat="false" ht="15" hidden="false" customHeight="false" outlineLevel="0" collapsed="false">
      <c r="A13" s="4" t="s">
        <v>164</v>
      </c>
    </row>
    <row r="14" customFormat="false" ht="23.85" hidden="false" customHeight="false" outlineLevel="0" collapsed="false">
      <c r="A14" s="4" t="s">
        <v>165</v>
      </c>
    </row>
    <row r="15" customFormat="false" ht="15" hidden="false" customHeight="false" outlineLevel="0" collapsed="false">
      <c r="A15" s="4" t="s">
        <v>166</v>
      </c>
    </row>
    <row r="16" customFormat="false" ht="15" hidden="false" customHeight="false" outlineLevel="0" collapsed="false">
      <c r="A16" s="4" t="s">
        <v>167</v>
      </c>
    </row>
    <row r="17" customFormat="false" ht="15" hidden="false" customHeight="false" outlineLevel="0" collapsed="false">
      <c r="A17" s="4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2026-07-02T01:52:59Z</dcterms:created>
  <dc:creator>openpyxl</dc:creator>
  <dc:description/>
  <dc:language>en-US</dc:language>
  <cp:lastModifiedBy/>
  <dcterms:modified xsi:type="dcterms:W3CDTF">2026-07-02T01:52:59Z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